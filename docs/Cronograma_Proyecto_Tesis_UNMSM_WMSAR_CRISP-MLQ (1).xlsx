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/>
  <mc:AlternateContent xmlns:mc="http://schemas.openxmlformats.org/markup-compatibility/2006">
    <mc:Choice Requires="x15">
      <x15ac:absPath xmlns:x15ac="http://schemas.microsoft.com/office/spreadsheetml/2010/11/ac" url="C:\Users\Mijael\Downloads\"/>
    </mc:Choice>
  </mc:AlternateContent>
  <xr:revisionPtr revIDLastSave="0" documentId="13_ncr:1_{F8F2EDEB-F2C7-4044-BAE9-BFB240C63920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Cronograma" sheetId="1" r:id="rId1"/>
    <sheet name="Hitos y entregables" sheetId="2" r:id="rId2"/>
    <sheet name="Correspondencia DSRM–CRISP" sheetId="3" r:id="rId3"/>
  </sheets>
  <definedNames>
    <definedName name="_xlnm.Print_Titles" localSheetId="0">Cronograma!$5:$7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19" i="1" l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</calcChain>
</file>

<file path=xl/sharedStrings.xml><?xml version="1.0" encoding="utf-8"?>
<sst xmlns="http://schemas.openxmlformats.org/spreadsheetml/2006/main" count="225" uniqueCount="143">
  <si>
    <t>CRONOGRAMA DE ACTIVIDADES · DSRM + CRISP-ML(Q)</t>
  </si>
  <si>
    <t>Autor: Wilton Mijael Sullcaray Riveros   ·   Asesor: Ing. Yamil Alexander Quiñones Nieto   ·   UNMSM – FISI, Unidad de Posgrado   ·   Duración total: 14 meses (julio 2026 – agosto 2027)</t>
  </si>
  <si>
    <t>N°</t>
  </si>
  <si>
    <t>Actividad DSRM
(Peffers et al., 2007)</t>
  </si>
  <si>
    <t>Fase CRISP-ML(Q)
(Studer et al., 2021)</t>
  </si>
  <si>
    <t>Actividad</t>
  </si>
  <si>
    <t>Responsable</t>
  </si>
  <si>
    <t>Entregable / Hito</t>
  </si>
  <si>
    <t>Inicio</t>
  </si>
  <si>
    <t>Fin</t>
  </si>
  <si>
    <t>Dur.
(meses)</t>
  </si>
  <si>
    <t>2026</t>
  </si>
  <si>
    <t>2027</t>
  </si>
  <si>
    <t>T3</t>
  </si>
  <si>
    <t>T4</t>
  </si>
  <si>
    <t>T1</t>
  </si>
  <si>
    <t>T2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</si>
  <si>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</si>
  <si>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</si>
  <si>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</si>
  <si>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</si>
  <si>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</si>
  <si>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</si>
  <si>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</si>
  <si>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</si>
  <si>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</si>
  <si>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</si>
  <si>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</si>
  <si>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</si>
  <si>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A1–A2 · Problema y objetivos (viabilidad)</t>
  </si>
  <si>
    <t>F1 · Comprensión del negocio y de los datos</t>
  </si>
  <si>
    <t>Auditoría de cobertura, elegibilidad y tamaño del conjunto analítico</t>
  </si>
  <si>
    <t>Tesista</t>
  </si>
  <si>
    <t>H1 · E1</t>
  </si>
  <si>
    <t>Ciclo de rigor (transversal)</t>
  </si>
  <si>
    <t>Revisión y actualización de la literatura conforme al protocolo</t>
  </si>
  <si>
    <t>Actualización de E1</t>
  </si>
  <si>
    <t>A3 · Diseño y desarrollo</t>
  </si>
  <si>
    <t>F2 · Preparación de datos</t>
  </si>
  <si>
    <t>Construcción de la máscara agrícola y descarga documentada de series</t>
  </si>
  <si>
    <t>Máscara validada y manifiesto de descargas</t>
  </si>
  <si>
    <t>Integración del conjunto de datos, alineación fenológica y control del horizonte</t>
  </si>
  <si>
    <t>E2</t>
  </si>
  <si>
    <t>Preprocesamiento, análisis exploratorio y tratamiento de la variable objetivo</t>
  </si>
  <si>
    <t>E3</t>
  </si>
  <si>
    <t>F3 · Modelado</t>
  </si>
  <si>
    <t>Diseño e implementación de CNN-1D, comparadores e integración de SHAP</t>
  </si>
  <si>
    <t>E4</t>
  </si>
  <si>
    <t>A4 · Demostración</t>
  </si>
  <si>
    <t>Ensayo piloto, estimación de variabilidad y registro de preespecificación</t>
  </si>
  <si>
    <t>H2 · E5</t>
  </si>
  <si>
    <t>A5 · Evaluación</t>
  </si>
  <si>
    <t>F4 · Evaluación</t>
  </si>
  <si>
    <t>Evaluación predictiva: origen móvil, XGBoost, B2, robustez espacial y sensibilidad</t>
  </si>
  <si>
    <t>Predicciones y métricas por campaña y semilla</t>
  </si>
  <si>
    <t>Evaluación SHAP: estabilidad, oclusión, ablación secundaria y concordancia agronómica</t>
  </si>
  <si>
    <t>E6</t>
  </si>
  <si>
    <t>A6 · Comunicación</t>
  </si>
  <si>
    <t>Comunicación y cierre (DSRM A6)</t>
  </si>
  <si>
    <t>Redacción de resultados, discusión, conclusiones y recomendaciones</t>
  </si>
  <si>
    <t>E7</t>
  </si>
  <si>
    <t>F5 · Despliegue (adaptado: empaquetado reproducible)</t>
  </si>
  <si>
    <t>Empaquetado reproducible y comunicación: repositorio, entorno, manifiesto, artículo y datos o scripts según licencias</t>
  </si>
  <si>
    <t>E8</t>
  </si>
  <si>
    <t>Revisión del asesor, control de similitud, trámites y sustentación</t>
  </si>
  <si>
    <t>H3</t>
  </si>
  <si>
    <t>Leyenda</t>
  </si>
  <si>
    <t>■  F1 · Comprensión del negocio y de los datos</t>
  </si>
  <si>
    <t>■  F2 · Preparación de datos</t>
  </si>
  <si>
    <t>■  F3 · Modelado</t>
  </si>
  <si>
    <t>■  F4 · Evaluación</t>
  </si>
  <si>
    <t>■  F5 · Despliegue (adaptado: empaquetado reproducible)</t>
  </si>
  <si>
    <t>■  Comunicación y cierre (DSRM A6)</t>
  </si>
  <si>
    <t>■  Hito de control (H1–H3)</t>
  </si>
  <si>
    <t>Nota. El proceso general sigue la DSRM de Peffers et al. (2007); la construcción y evaluación del artefacto de ML (actividades A3–A5 y empaquetado) se organiza con las fases de CRISP-ML(Q) de Studer et al. (2021). La fase F6 de CRISP-ML(Q) (monitoreo y mantenimiento) queda fuera del alcance porque el artefacto no se desplegará en operación; F5 se adapta como empaquetado reproducible (sección 4.18). H1: cierre de la auditoría de cobertura y elegibilidad, condición para continuar con el diseño provincia-campaña. H2: cierre del ensayo piloto y registro de preespecificación, previo a la evaluación definitiva. H3: revisión final y sustentación. La construcción y evaluación del artefacto (DSRM A1–A5) concluye en diciembre de 2026; la comunicación de resultados (A6) se desarrolla de enero a agosto de 2027. Las barras se dibujan a partir de las fechas de Inicio y Fin. Elaboración propia.</t>
  </si>
  <si>
    <t>HITOS Y ENTREGABLES</t>
  </si>
  <si>
    <t>Código</t>
  </si>
  <si>
    <t>Descripción</t>
  </si>
  <si>
    <t>Fase CRISP-ML(Q)</t>
  </si>
  <si>
    <t>Trimestre</t>
  </si>
  <si>
    <t>Tipo</t>
  </si>
  <si>
    <t>H1</t>
  </si>
  <si>
    <t>Cierre de la auditoría de cobertura y elegibilidad; condición para continuar con el diseño provincia-campaña</t>
  </si>
  <si>
    <t>T3-2026</t>
  </si>
  <si>
    <t>Hito</t>
  </si>
  <si>
    <t>E1</t>
  </si>
  <si>
    <t>Matriz provincia × campaña e informe de viabilidad (actualizado con el protocolo y la matriz de antecedentes)</t>
  </si>
  <si>
    <t>1, 2</t>
  </si>
  <si>
    <t>Entregable</t>
  </si>
  <si>
    <t>—</t>
  </si>
  <si>
    <t>Máscara agrícola validada y manifiesto de descargas</t>
  </si>
  <si>
    <t>Producto intermedio</t>
  </si>
  <si>
    <t>Conjunto de datos y diccionario de variables</t>
  </si>
  <si>
    <t>T4-2026</t>
  </si>
  <si>
    <t>Informe de depuración y análisis exploratorio</t>
  </si>
  <si>
    <t>Código y configuración reproducible del artefacto (CNN-1D, cuatro comparadores ajustables, tres benchmarks e integración SHAP)</t>
  </si>
  <si>
    <t>H2</t>
  </si>
  <si>
    <t>Cierre del ensayo piloto y registro de preespecificación, previo a la evaluación definitiva</t>
  </si>
  <si>
    <t>E5</t>
  </si>
  <si>
    <t>Registro fechado de hipótesis, márgenes y reglas</t>
  </si>
  <si>
    <t>Predicciones y métricas por campaña, modelo y semilla</t>
  </si>
  <si>
    <t>Informe de interpretabilidad (estabilidad, fidelidad por oclusión y concordancia agronómica)</t>
  </si>
  <si>
    <t>Manuscrito completo</t>
  </si>
  <si>
    <t>T2-2027</t>
  </si>
  <si>
    <t>Artículo enviado y repositorio documentado (entorno, manifiesto y scripts de reconstrucción)</t>
  </si>
  <si>
    <t>Versión final y sustentación</t>
  </si>
  <si>
    <t>T3-2027</t>
  </si>
  <si>
    <t>CORRESPONDENCIA ENTRE DSRM, CRISP-ML(Q) Y LAS ACTIVIDADES DEL PROYECTO</t>
  </si>
  <si>
    <t>Actividad DSRM</t>
  </si>
  <si>
    <t>Actividades del cronograma</t>
  </si>
  <si>
    <t>Aseguramiento de calidad previsto en el proyecto</t>
  </si>
  <si>
    <t>Sección</t>
  </si>
  <si>
    <t>Entregables</t>
  </si>
  <si>
    <t>A1–A2 · Problema y objetivos; ciclo de rigor</t>
  </si>
  <si>
    <t>1. Auditoría de cobertura y elegibilidad
2. Revisión de la literatura</t>
  </si>
  <si>
    <t>Riesgos de disponibilidad con condición de activación y respuesta (Tabla 6); H1 como criterio de continuidad; cascada de celdas elegibles sin tasas supuestas.</t>
  </si>
  <si>
    <t>1.1–1.4, 2.1–2.2, 4.5–4.8</t>
  </si>
  <si>
    <t>H1, E1</t>
  </si>
  <si>
    <t>3. Máscara agrícola y descargas
4. Integración y alineación fenológica
5. Preprocesamiento y análisis exploratorio</t>
  </si>
  <si>
    <t>Manifiesto con versión, fecha y hash; umbrales fijados antes de la evaluación; exclusión de información posterior al horizonte; transformaciones ajustadas solo con entrenamiento; registro de exclusiones.</t>
  </si>
  <si>
    <t>4.9–4.11</t>
  </si>
  <si>
    <t>E2, E3</t>
  </si>
  <si>
    <t>A3 · Diseño y desarrollo; A4 · Demostración</t>
  </si>
  <si>
    <t>6. CNN-1D, comparadores y SHAP
7. Ensayo piloto y preespecificación</t>
  </si>
  <si>
    <t>Presupuesto de ajuste igual para los cinco modelos; espacios de búsqueda publicados; registro fechado de hipótesis, márgenes y umbrales antes de evaluar (H2).</t>
  </si>
  <si>
    <t>4.12</t>
  </si>
  <si>
    <t>E4, H2, E5</t>
  </si>
  <si>
    <t>8. Evaluación predictiva
9. Evaluación SHAP</t>
  </si>
  <si>
    <t>Validación de origen móvil con anidamiento; diez semillas; intervalos por bloques temporales; estabilidad, fidelidad por oclusión y concordancia agronómica; corrección de Holm; amenazas a la validez (Tabla 10).</t>
  </si>
  <si>
    <t>4.12–4.16</t>
  </si>
  <si>
    <t>11. Empaquetado reproducible y comunicación</t>
  </si>
  <si>
    <t>Repositorio versionado, entorno de ejecución, manifiesto de datos y scripts de reconstrucción respetando licencias.</t>
  </si>
  <si>
    <t>4.17–4.18</t>
  </si>
  <si>
    <t>F6 · Monitoreo y mantenimiento (fuera de alcance)</t>
  </si>
  <si>
    <t>No aplica</t>
  </si>
  <si>
    <t>Monitoreo y mantenimiento fuera del alcance: el artefacto no se desplegará en operación. Se declara como limitación.</t>
  </si>
  <si>
    <t>1.5–1.6</t>
  </si>
  <si>
    <t>10. Redacción
12. Revisión, similitud y sustentación</t>
  </si>
  <si>
    <t>Control de similitud y verificación de referencias en sus fuentes originales (4.17).</t>
  </si>
  <si>
    <t>Cap. 6</t>
  </si>
  <si>
    <t>E7, H3</t>
  </si>
  <si>
    <t>Fuentes. Peffers, K., Tuunanen, T., Rothenberger, M. A., y Chatterjee, S. (2007). A design science research methodology for information systems research. Journal of Management Information Systems, 24(3), 45-77. https://doi.org/10.2753/MIS0742-1222240302 · Studer, S., Bui, T. B., Drescher, C., Hanuschkin, A., Winkler, L., Peters, S., y Müller, K.-R. (2021). Towards CRISP-ML(Q): A machine learning process model with quality assurance methodology. Machine Learning and Knowledge Extraction, 3(2), 392-413. https://doi.org/10.3390/make3020020. La columna de aseguramiento de calidad resume medidas ya descritas en el proyecto.</t>
  </si>
  <si>
    <t>Modelo CNN-1D interpretable con SHAP para predecir el rendimiento de cosecha de quinua en la sierra peruana,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</si>
</sst>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6D1F35"/>
      <name val="Arial"/>
      <charset val="1"/>
    </font>
    <font>
      <i/>
      <sz val="9"/>
      <color rgb="FF343A45"/>
      <name val="Arial"/>
      <charset val="1"/>
    </font>
    <font>
      <b/>
      <sz val="9.5"/>
      <color rgb="FFFFFFFF"/>
      <name val="Arial"/>
      <charset val="1"/>
    </font>
    <font>
      <b/>
      <sz val="9.5"/>
      <color rgb="FF343A45"/>
      <name val="Arial"/>
      <charset val="1"/>
    </font>
    <font>
      <b/>
      <sz val="8.5"/>
      <color rgb="FF343A45"/>
      <name val="Arial"/>
      <charset val="1"/>
    </font>
    <font>
      <sz val="8"/>
      <color rgb="FF343A45"/>
      <name val="Arial"/>
      <charset val="1"/>
    </font>
    <font>
      <sz val="9"/>
      <color rgb="FF343A45"/>
      <name val="Arial"/>
      <charset val="1"/>
    </font>
    <font>
      <sz val="8.5"/>
      <color rgb="FF343A45"/>
      <name val="Arial"/>
      <charset val="1"/>
    </font>
    <font>
      <b/>
      <sz val="8.5"/>
      <color rgb="FF3F7CAC"/>
      <name val="Arial"/>
      <charset val="1"/>
    </font>
    <font>
      <b/>
      <sz val="9"/>
      <color rgb="FF343A45"/>
      <name val="Arial"/>
      <charset val="1"/>
    </font>
    <font>
      <b/>
      <sz val="9"/>
      <color rgb="FFC29A4B"/>
      <name val="Arial"/>
      <charset val="1"/>
    </font>
    <font>
      <b/>
      <sz val="8.5"/>
      <color rgb="FF5FA36F"/>
      <name val="Arial"/>
      <charset val="1"/>
    </font>
    <font>
      <b/>
      <sz val="8.5"/>
      <color rgb="FF8A3350"/>
      <name val="Arial"/>
      <charset val="1"/>
    </font>
    <font>
      <b/>
      <sz val="8.5"/>
      <color rgb="FFCBA85E"/>
      <name val="Arial"/>
      <charset val="1"/>
    </font>
    <font>
      <b/>
      <sz val="8.5"/>
      <color rgb="FF7D8894"/>
      <name val="Arial"/>
      <charset val="1"/>
    </font>
    <font>
      <b/>
      <sz val="8.5"/>
      <color rgb="FF4E9C9A"/>
      <name val="Arial"/>
      <charset val="1"/>
    </font>
    <font>
      <b/>
      <sz val="8.5"/>
      <color rgb="FF441122"/>
      <name val="Arial"/>
      <charset val="1"/>
    </font>
    <font>
      <i/>
      <sz val="8"/>
      <color rgb="FF5B626D"/>
      <name val="Arial"/>
      <charset val="1"/>
    </font>
    <font>
      <b/>
      <sz val="14"/>
      <color rgb="FFFFFFFF"/>
      <name val="Arial"/>
      <charset val="1"/>
    </font>
    <font>
      <b/>
      <sz val="9"/>
      <color rgb="FF3F7CAC"/>
      <name val="Arial"/>
      <charset val="1"/>
    </font>
    <font>
      <b/>
      <sz val="9"/>
      <color rgb="FF5FA36F"/>
      <name val="Arial"/>
      <charset val="1"/>
    </font>
    <font>
      <b/>
      <sz val="9"/>
      <color rgb="FF8A3350"/>
      <name val="Arial"/>
      <charset val="1"/>
    </font>
    <font>
      <b/>
      <sz val="9"/>
      <color rgb="FFCBA85E"/>
      <name val="Arial"/>
      <charset val="1"/>
    </font>
    <font>
      <b/>
      <sz val="9"/>
      <color rgb="FF4E9C9A"/>
      <name val="Arial"/>
      <charset val="1"/>
    </font>
    <font>
      <b/>
      <sz val="9"/>
      <color rgb="FF9AA0A8"/>
      <name val="Arial"/>
      <charset val="1"/>
    </font>
    <font>
      <b/>
      <sz val="9"/>
      <color rgb="FF7D889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6D1F35"/>
        <bgColor rgb="FF8A3350"/>
      </patternFill>
    </fill>
    <fill>
      <patternFill patternType="solid">
        <fgColor rgb="FFEDE6D8"/>
        <bgColor rgb="FFF6F2EA"/>
      </patternFill>
    </fill>
    <fill>
      <patternFill patternType="solid">
        <fgColor rgb="FFF6F2EA"/>
        <bgColor rgb="FFF4F5F7"/>
      </patternFill>
    </fill>
    <fill>
      <patternFill patternType="solid">
        <fgColor rgb="FFF4F5F7"/>
        <bgColor rgb="FFF6F2EA"/>
      </patternFill>
    </fill>
  </fills>
  <borders count="2">
    <border>
      <left/>
      <right/>
      <top/>
      <bottom/>
      <diagonal/>
    </border>
    <border>
      <left style="thin">
        <color rgb="FFCFCBC2"/>
      </left>
      <right style="thin">
        <color rgb="FFCFCBC2"/>
      </right>
      <top style="thin">
        <color rgb="FFCFCBC2"/>
      </top>
      <bottom style="thin">
        <color rgb="FFCFCBC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0" fillId="2" borderId="0" xfId="0" applyFont="1" applyFill="1" applyAlignment="1">
      <alignment vertical="center" indent="1"/>
    </xf>
    <xf numFmtId="0" fontId="19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" fontId="8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0" xfId="0" applyFont="1"/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7D8894"/>
        </patternFill>
      </fill>
    </dxf>
    <dxf>
      <fill>
        <patternFill>
          <bgColor rgb="FF4E9C9A"/>
        </patternFill>
      </fill>
    </dxf>
    <dxf>
      <fill>
        <patternFill>
          <bgColor rgb="FFCBA85E"/>
        </patternFill>
      </fill>
    </dxf>
    <dxf>
      <fill>
        <patternFill>
          <bgColor rgb="FF8A3350"/>
        </patternFill>
      </fill>
    </dxf>
    <dxf>
      <fill>
        <patternFill>
          <bgColor rgb="FF5FA36F"/>
        </patternFill>
      </fill>
    </dxf>
    <dxf>
      <fill>
        <patternFill>
          <bgColor rgb="FF3F7CAC"/>
        </patternFill>
      </fill>
    </dxf>
    <dxf>
      <fill>
        <patternFill>
          <bgColor rgb="FF4411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A36F"/>
      <rgbColor rgb="FF800080"/>
      <rgbColor rgb="FF008080"/>
      <rgbColor rgb="FFCFCBC2"/>
      <rgbColor rgb="FF7D8894"/>
      <rgbColor rgb="FF9999FF"/>
      <rgbColor rgb="FF8A3350"/>
      <rgbColor rgb="FFF6F2EA"/>
      <rgbColor rgb="FFF4F5F7"/>
      <rgbColor rgb="FF6D1F35"/>
      <rgbColor rgb="FFCBA85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8"/>
      <rgbColor rgb="FFFFFF99"/>
      <rgbColor rgb="FF99CCFF"/>
      <rgbColor rgb="FFFF99CC"/>
      <rgbColor rgb="FFCC99FF"/>
      <rgbColor rgb="FFFFCC99"/>
      <rgbColor rgb="FF3F7CAC"/>
      <rgbColor rgb="FF33CCCC"/>
      <rgbColor rgb="FF99CC00"/>
      <rgbColor rgb="FFFFCC00"/>
      <rgbColor rgb="FFC29A4B"/>
      <rgbColor rgb="FFFF6600"/>
      <rgbColor rgb="FF5B626D"/>
      <rgbColor rgb="FF9AA0A8"/>
      <rgbColor rgb="FF003366"/>
      <rgbColor rgb="FF4E9C9A"/>
      <rgbColor rgb="FF003300"/>
      <rgbColor rgb="FF441122"/>
      <rgbColor rgb="FF993300"/>
      <rgbColor rgb="FF993366"/>
      <rgbColor rgb="FF333399"/>
      <rgbColor rgb="FF343A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5"/>
  <sheetViews>
    <sheetView showGridLines="0"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Z10" sqref="Z10"/>
    </sheetView>
  </sheetViews>
  <sheetFormatPr baseColWidth="10" defaultColWidth="8.6640625" defaultRowHeight="14.4" x14ac:dyDescent="0.3"/>
  <cols>
    <col min="1" max="1" width="4.44140625" customWidth="1"/>
    <col min="2" max="2" width="20" customWidth="1"/>
    <col min="3" max="3" width="24" customWidth="1"/>
    <col min="4" max="4" width="46" customWidth="1"/>
    <col min="5" max="5" width="11.44140625" customWidth="1"/>
    <col min="6" max="6" width="20" customWidth="1"/>
    <col min="7" max="8" width="8.44140625" customWidth="1"/>
    <col min="9" max="9" width="7" customWidth="1"/>
    <col min="10" max="23" width="4.21875" customWidth="1"/>
  </cols>
  <sheetData>
    <row r="1" spans="1:23" ht="25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8" customHeight="1" x14ac:dyDescent="0.3">
      <c r="A2" s="7" t="s">
        <v>142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.75" customHeight="1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5" spans="1:23" ht="15" customHeight="1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4" t="s">
        <v>11</v>
      </c>
      <c r="K5" s="4"/>
      <c r="L5" s="4"/>
      <c r="M5" s="4"/>
      <c r="N5" s="4"/>
      <c r="O5" s="4"/>
      <c r="P5" s="4" t="s">
        <v>12</v>
      </c>
      <c r="Q5" s="4"/>
      <c r="R5" s="4"/>
      <c r="S5" s="4"/>
      <c r="T5" s="4"/>
      <c r="U5" s="4"/>
      <c r="V5" s="4"/>
      <c r="W5" s="4"/>
    </row>
    <row r="6" spans="1:23" ht="15" customHeight="1" x14ac:dyDescent="0.3">
      <c r="A6" s="5"/>
      <c r="B6" s="5"/>
      <c r="C6" s="5"/>
      <c r="D6" s="5"/>
      <c r="E6" s="5"/>
      <c r="F6" s="5"/>
      <c r="G6" s="5"/>
      <c r="H6" s="5"/>
      <c r="I6" s="5"/>
      <c r="J6" s="3" t="s">
        <v>13</v>
      </c>
      <c r="K6" s="3"/>
      <c r="L6" s="3"/>
      <c r="M6" s="3" t="s">
        <v>14</v>
      </c>
      <c r="N6" s="3"/>
      <c r="O6" s="3"/>
      <c r="P6" s="3" t="s">
        <v>15</v>
      </c>
      <c r="Q6" s="3"/>
      <c r="R6" s="3"/>
      <c r="S6" s="3" t="s">
        <v>16</v>
      </c>
      <c r="T6" s="3"/>
      <c r="U6" s="3"/>
      <c r="V6" s="3" t="s">
        <v>13</v>
      </c>
      <c r="W6" s="3"/>
    </row>
    <row r="7" spans="1:23" ht="15" customHeight="1" x14ac:dyDescent="0.3">
      <c r="A7" s="5"/>
      <c r="B7" s="5"/>
      <c r="C7" s="5"/>
      <c r="D7" s="5"/>
      <c r="E7" s="5"/>
      <c r="F7" s="5"/>
      <c r="G7" s="5"/>
      <c r="H7" s="5"/>
      <c r="I7" s="5"/>
      <c r="J7" s="10" t="s">
        <v>17</v>
      </c>
      <c r="K7" s="10" t="s">
        <v>18</v>
      </c>
      <c r="L7" s="10" t="s">
        <v>19</v>
      </c>
      <c r="M7" s="10" t="s">
        <v>20</v>
      </c>
      <c r="N7" s="10" t="s">
        <v>21</v>
      </c>
      <c r="O7" s="10" t="s">
        <v>22</v>
      </c>
      <c r="P7" s="10" t="s">
        <v>23</v>
      </c>
      <c r="Q7" s="10" t="s">
        <v>24</v>
      </c>
      <c r="R7" s="10" t="s">
        <v>25</v>
      </c>
      <c r="S7" s="10" t="s">
        <v>26</v>
      </c>
      <c r="T7" s="10" t="s">
        <v>27</v>
      </c>
      <c r="U7" s="10" t="s">
        <v>28</v>
      </c>
      <c r="V7" s="10" t="s">
        <v>17</v>
      </c>
      <c r="W7" s="10" t="s">
        <v>18</v>
      </c>
    </row>
    <row r="8" spans="1:23" ht="36" customHeight="1" x14ac:dyDescent="0.3">
      <c r="A8" s="11">
        <v>1</v>
      </c>
      <c r="B8" s="12" t="s">
        <v>29</v>
      </c>
      <c r="C8" s="13" t="s">
        <v>30</v>
      </c>
      <c r="D8" s="14" t="s">
        <v>31</v>
      </c>
      <c r="E8" s="14" t="s">
        <v>32</v>
      </c>
      <c r="F8" s="11" t="s">
        <v>33</v>
      </c>
      <c r="G8" s="15">
        <v>46204</v>
      </c>
      <c r="H8" s="15">
        <v>46235</v>
      </c>
      <c r="I8" s="16">
        <f t="shared" ref="I8:I19" si="0">(YEAR(H8)-YEAR(G8))*12+(MONTH(H8)-MONTH(G8))+1</f>
        <v>2</v>
      </c>
      <c r="J8" s="17" t="str">
        <f t="shared" ref="J8:W19" si="1">IF(AND(LEFT($F8,1)="H",(YEAR($H8)-2026)*12+MONTH($H8)-7=COLUMN()-10),"◆","")</f>
        <v/>
      </c>
      <c r="K8" s="17" t="str">
        <f t="shared" si="1"/>
        <v>◆</v>
      </c>
      <c r="L8" s="17" t="str">
        <f t="shared" si="1"/>
        <v/>
      </c>
      <c r="M8" s="17" t="str">
        <f t="shared" si="1"/>
        <v/>
      </c>
      <c r="N8" s="17" t="str">
        <f t="shared" si="1"/>
        <v/>
      </c>
      <c r="O8" s="17" t="str">
        <f t="shared" si="1"/>
        <v/>
      </c>
      <c r="P8" s="17" t="str">
        <f t="shared" si="1"/>
        <v/>
      </c>
      <c r="Q8" s="17" t="str">
        <f t="shared" si="1"/>
        <v/>
      </c>
      <c r="R8" s="17" t="str">
        <f t="shared" si="1"/>
        <v/>
      </c>
      <c r="S8" s="17" t="str">
        <f t="shared" si="1"/>
        <v/>
      </c>
      <c r="T8" s="17" t="str">
        <f t="shared" si="1"/>
        <v/>
      </c>
      <c r="U8" s="17" t="str">
        <f t="shared" si="1"/>
        <v/>
      </c>
      <c r="V8" s="17" t="str">
        <f t="shared" si="1"/>
        <v/>
      </c>
      <c r="W8" s="17" t="str">
        <f t="shared" si="1"/>
        <v/>
      </c>
    </row>
    <row r="9" spans="1:23" ht="36" customHeight="1" x14ac:dyDescent="0.3">
      <c r="A9" s="11">
        <v>2</v>
      </c>
      <c r="B9" s="12" t="s">
        <v>34</v>
      </c>
      <c r="C9" s="13" t="s">
        <v>30</v>
      </c>
      <c r="D9" s="14" t="s">
        <v>35</v>
      </c>
      <c r="E9" s="14" t="s">
        <v>32</v>
      </c>
      <c r="F9" s="11" t="s">
        <v>36</v>
      </c>
      <c r="G9" s="15">
        <v>46204</v>
      </c>
      <c r="H9" s="15">
        <v>46447</v>
      </c>
      <c r="I9" s="16">
        <f t="shared" si="0"/>
        <v>9</v>
      </c>
      <c r="J9" s="17" t="str">
        <f t="shared" si="1"/>
        <v/>
      </c>
      <c r="K9" s="17" t="str">
        <f t="shared" si="1"/>
        <v/>
      </c>
      <c r="L9" s="17" t="str">
        <f t="shared" si="1"/>
        <v/>
      </c>
      <c r="M9" s="17" t="str">
        <f t="shared" si="1"/>
        <v/>
      </c>
      <c r="N9" s="17" t="str">
        <f t="shared" si="1"/>
        <v/>
      </c>
      <c r="O9" s="17" t="str">
        <f t="shared" si="1"/>
        <v/>
      </c>
      <c r="P9" s="17" t="str">
        <f t="shared" si="1"/>
        <v/>
      </c>
      <c r="Q9" s="17" t="str">
        <f t="shared" si="1"/>
        <v/>
      </c>
      <c r="R9" s="17" t="str">
        <f t="shared" si="1"/>
        <v/>
      </c>
      <c r="S9" s="17" t="str">
        <f t="shared" si="1"/>
        <v/>
      </c>
      <c r="T9" s="17" t="str">
        <f t="shared" si="1"/>
        <v/>
      </c>
      <c r="U9" s="17" t="str">
        <f t="shared" si="1"/>
        <v/>
      </c>
      <c r="V9" s="17" t="str">
        <f t="shared" si="1"/>
        <v/>
      </c>
      <c r="W9" s="17" t="str">
        <f t="shared" si="1"/>
        <v/>
      </c>
    </row>
    <row r="10" spans="1:23" ht="36" customHeight="1" x14ac:dyDescent="0.3">
      <c r="A10" s="11">
        <v>3</v>
      </c>
      <c r="B10" s="12" t="s">
        <v>37</v>
      </c>
      <c r="C10" s="18" t="s">
        <v>38</v>
      </c>
      <c r="D10" s="14" t="s">
        <v>39</v>
      </c>
      <c r="E10" s="14" t="s">
        <v>32</v>
      </c>
      <c r="F10" s="11" t="s">
        <v>40</v>
      </c>
      <c r="G10" s="15">
        <v>46235</v>
      </c>
      <c r="H10" s="15">
        <v>46266</v>
      </c>
      <c r="I10" s="16">
        <f t="shared" si="0"/>
        <v>2</v>
      </c>
      <c r="J10" s="17" t="str">
        <f t="shared" si="1"/>
        <v/>
      </c>
      <c r="K10" s="17" t="str">
        <f t="shared" si="1"/>
        <v/>
      </c>
      <c r="L10" s="17" t="str">
        <f t="shared" si="1"/>
        <v/>
      </c>
      <c r="M10" s="17" t="str">
        <f t="shared" si="1"/>
        <v/>
      </c>
      <c r="N10" s="17" t="str">
        <f t="shared" si="1"/>
        <v/>
      </c>
      <c r="O10" s="17" t="str">
        <f t="shared" si="1"/>
        <v/>
      </c>
      <c r="P10" s="17" t="str">
        <f t="shared" si="1"/>
        <v/>
      </c>
      <c r="Q10" s="17" t="str">
        <f t="shared" si="1"/>
        <v/>
      </c>
      <c r="R10" s="17" t="str">
        <f t="shared" si="1"/>
        <v/>
      </c>
      <c r="S10" s="17" t="str">
        <f t="shared" si="1"/>
        <v/>
      </c>
      <c r="T10" s="17" t="str">
        <f t="shared" si="1"/>
        <v/>
      </c>
      <c r="U10" s="17" t="str">
        <f t="shared" si="1"/>
        <v/>
      </c>
      <c r="V10" s="17" t="str">
        <f t="shared" si="1"/>
        <v/>
      </c>
      <c r="W10" s="17" t="str">
        <f t="shared" si="1"/>
        <v/>
      </c>
    </row>
    <row r="11" spans="1:23" ht="36" customHeight="1" x14ac:dyDescent="0.3">
      <c r="A11" s="11">
        <v>4</v>
      </c>
      <c r="B11" s="12" t="s">
        <v>37</v>
      </c>
      <c r="C11" s="18" t="s">
        <v>38</v>
      </c>
      <c r="D11" s="14" t="s">
        <v>41</v>
      </c>
      <c r="E11" s="14" t="s">
        <v>32</v>
      </c>
      <c r="F11" s="11" t="s">
        <v>42</v>
      </c>
      <c r="G11" s="15">
        <v>46266</v>
      </c>
      <c r="H11" s="15">
        <v>46296</v>
      </c>
      <c r="I11" s="16">
        <f t="shared" si="0"/>
        <v>2</v>
      </c>
      <c r="J11" s="17" t="str">
        <f t="shared" si="1"/>
        <v/>
      </c>
      <c r="K11" s="17" t="str">
        <f t="shared" si="1"/>
        <v/>
      </c>
      <c r="L11" s="17" t="str">
        <f t="shared" si="1"/>
        <v/>
      </c>
      <c r="M11" s="17" t="str">
        <f t="shared" si="1"/>
        <v/>
      </c>
      <c r="N11" s="17" t="str">
        <f t="shared" si="1"/>
        <v/>
      </c>
      <c r="O11" s="17" t="str">
        <f t="shared" si="1"/>
        <v/>
      </c>
      <c r="P11" s="17" t="str">
        <f t="shared" si="1"/>
        <v/>
      </c>
      <c r="Q11" s="17" t="str">
        <f t="shared" si="1"/>
        <v/>
      </c>
      <c r="R11" s="17" t="str">
        <f t="shared" si="1"/>
        <v/>
      </c>
      <c r="S11" s="17" t="str">
        <f t="shared" si="1"/>
        <v/>
      </c>
      <c r="T11" s="17" t="str">
        <f t="shared" si="1"/>
        <v/>
      </c>
      <c r="U11" s="17" t="str">
        <f t="shared" si="1"/>
        <v/>
      </c>
      <c r="V11" s="17" t="str">
        <f t="shared" si="1"/>
        <v/>
      </c>
      <c r="W11" s="17" t="str">
        <f t="shared" si="1"/>
        <v/>
      </c>
    </row>
    <row r="12" spans="1:23" ht="36" customHeight="1" x14ac:dyDescent="0.3">
      <c r="A12" s="11">
        <v>5</v>
      </c>
      <c r="B12" s="12" t="s">
        <v>37</v>
      </c>
      <c r="C12" s="18" t="s">
        <v>38</v>
      </c>
      <c r="D12" s="14" t="s">
        <v>43</v>
      </c>
      <c r="E12" s="14" t="s">
        <v>32</v>
      </c>
      <c r="F12" s="11" t="s">
        <v>44</v>
      </c>
      <c r="G12" s="15">
        <v>46296</v>
      </c>
      <c r="H12" s="15">
        <v>46296</v>
      </c>
      <c r="I12" s="16">
        <f t="shared" si="0"/>
        <v>1</v>
      </c>
      <c r="J12" s="17" t="str">
        <f t="shared" si="1"/>
        <v/>
      </c>
      <c r="K12" s="17" t="str">
        <f t="shared" si="1"/>
        <v/>
      </c>
      <c r="L12" s="17" t="str">
        <f t="shared" si="1"/>
        <v/>
      </c>
      <c r="M12" s="17" t="str">
        <f t="shared" si="1"/>
        <v/>
      </c>
      <c r="N12" s="17" t="str">
        <f t="shared" si="1"/>
        <v/>
      </c>
      <c r="O12" s="17" t="str">
        <f t="shared" si="1"/>
        <v/>
      </c>
      <c r="P12" s="17" t="str">
        <f t="shared" si="1"/>
        <v/>
      </c>
      <c r="Q12" s="17" t="str">
        <f t="shared" si="1"/>
        <v/>
      </c>
      <c r="R12" s="17" t="str">
        <f t="shared" si="1"/>
        <v/>
      </c>
      <c r="S12" s="17" t="str">
        <f t="shared" si="1"/>
        <v/>
      </c>
      <c r="T12" s="17" t="str">
        <f t="shared" si="1"/>
        <v/>
      </c>
      <c r="U12" s="17" t="str">
        <f t="shared" si="1"/>
        <v/>
      </c>
      <c r="V12" s="17" t="str">
        <f t="shared" si="1"/>
        <v/>
      </c>
      <c r="W12" s="17" t="str">
        <f t="shared" si="1"/>
        <v/>
      </c>
    </row>
    <row r="13" spans="1:23" ht="36" customHeight="1" x14ac:dyDescent="0.3">
      <c r="A13" s="11">
        <v>6</v>
      </c>
      <c r="B13" s="12" t="s">
        <v>37</v>
      </c>
      <c r="C13" s="19" t="s">
        <v>45</v>
      </c>
      <c r="D13" s="14" t="s">
        <v>46</v>
      </c>
      <c r="E13" s="14" t="s">
        <v>32</v>
      </c>
      <c r="F13" s="11" t="s">
        <v>47</v>
      </c>
      <c r="G13" s="15">
        <v>46296</v>
      </c>
      <c r="H13" s="15">
        <v>46327</v>
      </c>
      <c r="I13" s="16">
        <f t="shared" si="0"/>
        <v>2</v>
      </c>
      <c r="J13" s="17" t="str">
        <f t="shared" si="1"/>
        <v/>
      </c>
      <c r="K13" s="17" t="str">
        <f t="shared" si="1"/>
        <v/>
      </c>
      <c r="L13" s="17" t="str">
        <f t="shared" si="1"/>
        <v/>
      </c>
      <c r="M13" s="17" t="str">
        <f t="shared" si="1"/>
        <v/>
      </c>
      <c r="N13" s="17" t="str">
        <f t="shared" si="1"/>
        <v/>
      </c>
      <c r="O13" s="17" t="str">
        <f t="shared" si="1"/>
        <v/>
      </c>
      <c r="P13" s="17" t="str">
        <f t="shared" si="1"/>
        <v/>
      </c>
      <c r="Q13" s="17" t="str">
        <f t="shared" si="1"/>
        <v/>
      </c>
      <c r="R13" s="17" t="str">
        <f t="shared" si="1"/>
        <v/>
      </c>
      <c r="S13" s="17" t="str">
        <f t="shared" si="1"/>
        <v/>
      </c>
      <c r="T13" s="17" t="str">
        <f t="shared" si="1"/>
        <v/>
      </c>
      <c r="U13" s="17" t="str">
        <f t="shared" si="1"/>
        <v/>
      </c>
      <c r="V13" s="17" t="str">
        <f t="shared" si="1"/>
        <v/>
      </c>
      <c r="W13" s="17" t="str">
        <f t="shared" si="1"/>
        <v/>
      </c>
    </row>
    <row r="14" spans="1:23" ht="36" customHeight="1" x14ac:dyDescent="0.3">
      <c r="A14" s="11">
        <v>7</v>
      </c>
      <c r="B14" s="12" t="s">
        <v>48</v>
      </c>
      <c r="C14" s="19" t="s">
        <v>45</v>
      </c>
      <c r="D14" s="14" t="s">
        <v>49</v>
      </c>
      <c r="E14" s="14" t="s">
        <v>32</v>
      </c>
      <c r="F14" s="11" t="s">
        <v>50</v>
      </c>
      <c r="G14" s="15">
        <v>46327</v>
      </c>
      <c r="H14" s="15">
        <v>46327</v>
      </c>
      <c r="I14" s="16">
        <f t="shared" si="0"/>
        <v>1</v>
      </c>
      <c r="J14" s="17" t="str">
        <f t="shared" si="1"/>
        <v/>
      </c>
      <c r="K14" s="17" t="str">
        <f t="shared" si="1"/>
        <v/>
      </c>
      <c r="L14" s="17" t="str">
        <f t="shared" si="1"/>
        <v/>
      </c>
      <c r="M14" s="17" t="str">
        <f t="shared" si="1"/>
        <v/>
      </c>
      <c r="N14" s="17" t="str">
        <f t="shared" si="1"/>
        <v>◆</v>
      </c>
      <c r="O14" s="17" t="str">
        <f t="shared" si="1"/>
        <v/>
      </c>
      <c r="P14" s="17" t="str">
        <f t="shared" si="1"/>
        <v/>
      </c>
      <c r="Q14" s="17" t="str">
        <f t="shared" si="1"/>
        <v/>
      </c>
      <c r="R14" s="17" t="str">
        <f t="shared" si="1"/>
        <v/>
      </c>
      <c r="S14" s="17" t="str">
        <f t="shared" si="1"/>
        <v/>
      </c>
      <c r="T14" s="17" t="str">
        <f t="shared" si="1"/>
        <v/>
      </c>
      <c r="U14" s="17" t="str">
        <f t="shared" si="1"/>
        <v/>
      </c>
      <c r="V14" s="17" t="str">
        <f t="shared" si="1"/>
        <v/>
      </c>
      <c r="W14" s="17" t="str">
        <f t="shared" si="1"/>
        <v/>
      </c>
    </row>
    <row r="15" spans="1:23" ht="36" customHeight="1" x14ac:dyDescent="0.3">
      <c r="A15" s="11">
        <v>8</v>
      </c>
      <c r="B15" s="12" t="s">
        <v>51</v>
      </c>
      <c r="C15" s="20" t="s">
        <v>52</v>
      </c>
      <c r="D15" s="14" t="s">
        <v>53</v>
      </c>
      <c r="E15" s="14" t="s">
        <v>32</v>
      </c>
      <c r="F15" s="11" t="s">
        <v>54</v>
      </c>
      <c r="G15" s="15">
        <v>46327</v>
      </c>
      <c r="H15" s="15">
        <v>46357</v>
      </c>
      <c r="I15" s="16">
        <f t="shared" si="0"/>
        <v>2</v>
      </c>
      <c r="J15" s="17" t="str">
        <f t="shared" si="1"/>
        <v/>
      </c>
      <c r="K15" s="17" t="str">
        <f t="shared" si="1"/>
        <v/>
      </c>
      <c r="L15" s="17" t="str">
        <f t="shared" si="1"/>
        <v/>
      </c>
      <c r="M15" s="17" t="str">
        <f t="shared" si="1"/>
        <v/>
      </c>
      <c r="N15" s="17" t="str">
        <f t="shared" si="1"/>
        <v/>
      </c>
      <c r="O15" s="17" t="str">
        <f t="shared" si="1"/>
        <v/>
      </c>
      <c r="P15" s="17" t="str">
        <f t="shared" si="1"/>
        <v/>
      </c>
      <c r="Q15" s="17" t="str">
        <f t="shared" si="1"/>
        <v/>
      </c>
      <c r="R15" s="17" t="str">
        <f t="shared" si="1"/>
        <v/>
      </c>
      <c r="S15" s="17" t="str">
        <f t="shared" si="1"/>
        <v/>
      </c>
      <c r="T15" s="17" t="str">
        <f t="shared" si="1"/>
        <v/>
      </c>
      <c r="U15" s="17" t="str">
        <f t="shared" si="1"/>
        <v/>
      </c>
      <c r="V15" s="17" t="str">
        <f t="shared" si="1"/>
        <v/>
      </c>
      <c r="W15" s="17" t="str">
        <f t="shared" si="1"/>
        <v/>
      </c>
    </row>
    <row r="16" spans="1:23" ht="36" customHeight="1" x14ac:dyDescent="0.3">
      <c r="A16" s="11">
        <v>9</v>
      </c>
      <c r="B16" s="12" t="s">
        <v>51</v>
      </c>
      <c r="C16" s="20" t="s">
        <v>52</v>
      </c>
      <c r="D16" s="14" t="s">
        <v>55</v>
      </c>
      <c r="E16" s="14" t="s">
        <v>32</v>
      </c>
      <c r="F16" s="11" t="s">
        <v>56</v>
      </c>
      <c r="G16" s="15">
        <v>46357</v>
      </c>
      <c r="H16" s="15">
        <v>46357</v>
      </c>
      <c r="I16" s="16">
        <f t="shared" si="0"/>
        <v>1</v>
      </c>
      <c r="J16" s="17" t="str">
        <f t="shared" si="1"/>
        <v/>
      </c>
      <c r="K16" s="17" t="str">
        <f t="shared" si="1"/>
        <v/>
      </c>
      <c r="L16" s="17" t="str">
        <f t="shared" si="1"/>
        <v/>
      </c>
      <c r="M16" s="17" t="str">
        <f t="shared" si="1"/>
        <v/>
      </c>
      <c r="N16" s="17" t="str">
        <f t="shared" si="1"/>
        <v/>
      </c>
      <c r="O16" s="17" t="str">
        <f t="shared" si="1"/>
        <v/>
      </c>
      <c r="P16" s="17" t="str">
        <f t="shared" si="1"/>
        <v/>
      </c>
      <c r="Q16" s="17" t="str">
        <f t="shared" si="1"/>
        <v/>
      </c>
      <c r="R16" s="17" t="str">
        <f t="shared" si="1"/>
        <v/>
      </c>
      <c r="S16" s="17" t="str">
        <f t="shared" si="1"/>
        <v/>
      </c>
      <c r="T16" s="17" t="str">
        <f t="shared" si="1"/>
        <v/>
      </c>
      <c r="U16" s="17" t="str">
        <f t="shared" si="1"/>
        <v/>
      </c>
      <c r="V16" s="17" t="str">
        <f t="shared" si="1"/>
        <v/>
      </c>
      <c r="W16" s="17" t="str">
        <f t="shared" si="1"/>
        <v/>
      </c>
    </row>
    <row r="17" spans="1:23" ht="36" customHeight="1" x14ac:dyDescent="0.3">
      <c r="A17" s="11">
        <v>10</v>
      </c>
      <c r="B17" s="12" t="s">
        <v>57</v>
      </c>
      <c r="C17" s="21" t="s">
        <v>58</v>
      </c>
      <c r="D17" s="14" t="s">
        <v>59</v>
      </c>
      <c r="E17" s="14" t="s">
        <v>32</v>
      </c>
      <c r="F17" s="11" t="s">
        <v>60</v>
      </c>
      <c r="G17" s="15">
        <v>46388</v>
      </c>
      <c r="H17" s="15">
        <v>46478</v>
      </c>
      <c r="I17" s="16">
        <f t="shared" si="0"/>
        <v>4</v>
      </c>
      <c r="J17" s="17" t="str">
        <f t="shared" si="1"/>
        <v/>
      </c>
      <c r="K17" s="17" t="str">
        <f t="shared" si="1"/>
        <v/>
      </c>
      <c r="L17" s="17" t="str">
        <f t="shared" si="1"/>
        <v/>
      </c>
      <c r="M17" s="17" t="str">
        <f t="shared" si="1"/>
        <v/>
      </c>
      <c r="N17" s="17" t="str">
        <f t="shared" si="1"/>
        <v/>
      </c>
      <c r="O17" s="17" t="str">
        <f t="shared" si="1"/>
        <v/>
      </c>
      <c r="P17" s="17" t="str">
        <f t="shared" si="1"/>
        <v/>
      </c>
      <c r="Q17" s="17" t="str">
        <f t="shared" si="1"/>
        <v/>
      </c>
      <c r="R17" s="17" t="str">
        <f t="shared" si="1"/>
        <v/>
      </c>
      <c r="S17" s="17" t="str">
        <f t="shared" si="1"/>
        <v/>
      </c>
      <c r="T17" s="17" t="str">
        <f t="shared" si="1"/>
        <v/>
      </c>
      <c r="U17" s="17" t="str">
        <f t="shared" si="1"/>
        <v/>
      </c>
      <c r="V17" s="17" t="str">
        <f t="shared" si="1"/>
        <v/>
      </c>
      <c r="W17" s="17" t="str">
        <f t="shared" si="1"/>
        <v/>
      </c>
    </row>
    <row r="18" spans="1:23" ht="36" customHeight="1" x14ac:dyDescent="0.3">
      <c r="A18" s="11">
        <v>11</v>
      </c>
      <c r="B18" s="12" t="s">
        <v>57</v>
      </c>
      <c r="C18" s="22" t="s">
        <v>61</v>
      </c>
      <c r="D18" s="14" t="s">
        <v>62</v>
      </c>
      <c r="E18" s="14" t="s">
        <v>32</v>
      </c>
      <c r="F18" s="11" t="s">
        <v>63</v>
      </c>
      <c r="G18" s="15">
        <v>46478</v>
      </c>
      <c r="H18" s="15">
        <v>46539</v>
      </c>
      <c r="I18" s="16">
        <f t="shared" si="0"/>
        <v>3</v>
      </c>
      <c r="J18" s="17" t="str">
        <f t="shared" si="1"/>
        <v/>
      </c>
      <c r="K18" s="17" t="str">
        <f t="shared" si="1"/>
        <v/>
      </c>
      <c r="L18" s="17" t="str">
        <f t="shared" si="1"/>
        <v/>
      </c>
      <c r="M18" s="17" t="str">
        <f t="shared" si="1"/>
        <v/>
      </c>
      <c r="N18" s="17" t="str">
        <f t="shared" si="1"/>
        <v/>
      </c>
      <c r="O18" s="17" t="str">
        <f t="shared" si="1"/>
        <v/>
      </c>
      <c r="P18" s="17" t="str">
        <f t="shared" si="1"/>
        <v/>
      </c>
      <c r="Q18" s="17" t="str">
        <f t="shared" si="1"/>
        <v/>
      </c>
      <c r="R18" s="17" t="str">
        <f t="shared" si="1"/>
        <v/>
      </c>
      <c r="S18" s="17" t="str">
        <f t="shared" si="1"/>
        <v/>
      </c>
      <c r="T18" s="17" t="str">
        <f t="shared" si="1"/>
        <v/>
      </c>
      <c r="U18" s="17" t="str">
        <f t="shared" si="1"/>
        <v/>
      </c>
      <c r="V18" s="17" t="str">
        <f t="shared" si="1"/>
        <v/>
      </c>
      <c r="W18" s="17" t="str">
        <f t="shared" si="1"/>
        <v/>
      </c>
    </row>
    <row r="19" spans="1:23" ht="36" customHeight="1" x14ac:dyDescent="0.3">
      <c r="A19" s="11">
        <v>12</v>
      </c>
      <c r="B19" s="12" t="s">
        <v>57</v>
      </c>
      <c r="C19" s="21" t="s">
        <v>58</v>
      </c>
      <c r="D19" s="14" t="s">
        <v>64</v>
      </c>
      <c r="E19" s="14" t="s">
        <v>32</v>
      </c>
      <c r="F19" s="11" t="s">
        <v>65</v>
      </c>
      <c r="G19" s="15">
        <v>46539</v>
      </c>
      <c r="H19" s="15">
        <v>46600</v>
      </c>
      <c r="I19" s="16">
        <f t="shared" si="0"/>
        <v>3</v>
      </c>
      <c r="J19" s="17" t="str">
        <f t="shared" si="1"/>
        <v/>
      </c>
      <c r="K19" s="17" t="str">
        <f t="shared" si="1"/>
        <v/>
      </c>
      <c r="L19" s="17" t="str">
        <f t="shared" si="1"/>
        <v/>
      </c>
      <c r="M19" s="17" t="str">
        <f t="shared" si="1"/>
        <v/>
      </c>
      <c r="N19" s="17" t="str">
        <f t="shared" si="1"/>
        <v/>
      </c>
      <c r="O19" s="17" t="str">
        <f t="shared" si="1"/>
        <v/>
      </c>
      <c r="P19" s="17" t="str">
        <f t="shared" si="1"/>
        <v/>
      </c>
      <c r="Q19" s="17" t="str">
        <f t="shared" si="1"/>
        <v/>
      </c>
      <c r="R19" s="17" t="str">
        <f t="shared" si="1"/>
        <v/>
      </c>
      <c r="S19" s="17" t="str">
        <f t="shared" si="1"/>
        <v/>
      </c>
      <c r="T19" s="17" t="str">
        <f t="shared" si="1"/>
        <v/>
      </c>
      <c r="U19" s="17" t="str">
        <f t="shared" si="1"/>
        <v/>
      </c>
      <c r="V19" s="17" t="str">
        <f t="shared" si="1"/>
        <v/>
      </c>
      <c r="W19" s="17" t="str">
        <f t="shared" si="1"/>
        <v>◆</v>
      </c>
    </row>
    <row r="20" spans="1:23" x14ac:dyDescent="0.3">
      <c r="B20" s="23" t="s">
        <v>66</v>
      </c>
    </row>
    <row r="21" spans="1:23" ht="24" customHeight="1" x14ac:dyDescent="0.3">
      <c r="B21" s="24" t="s">
        <v>67</v>
      </c>
      <c r="C21" s="25" t="s">
        <v>68</v>
      </c>
      <c r="D21" s="26" t="s">
        <v>69</v>
      </c>
    </row>
    <row r="22" spans="1:23" ht="24" customHeight="1" x14ac:dyDescent="0.3">
      <c r="B22" s="27" t="s">
        <v>70</v>
      </c>
      <c r="C22" s="28" t="s">
        <v>71</v>
      </c>
      <c r="D22" s="29" t="s">
        <v>72</v>
      </c>
    </row>
    <row r="23" spans="1:23" ht="24" customHeight="1" x14ac:dyDescent="0.3">
      <c r="B23" s="30" t="s">
        <v>73</v>
      </c>
    </row>
    <row r="25" spans="1:23" ht="51.75" customHeight="1" x14ac:dyDescent="0.3">
      <c r="A25" s="2" t="s">
        <v>74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</sheetData>
  <mergeCells count="20">
    <mergeCell ref="P6:R6"/>
    <mergeCell ref="S6:U6"/>
    <mergeCell ref="V6:W6"/>
    <mergeCell ref="A25:W25"/>
    <mergeCell ref="A1:W1"/>
    <mergeCell ref="A2:W2"/>
    <mergeCell ref="A3:W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O5"/>
    <mergeCell ref="P5:W5"/>
    <mergeCell ref="J6:L6"/>
    <mergeCell ref="M6:O6"/>
  </mergeCells>
  <conditionalFormatting sqref="J8:W19">
    <cfRule type="expression" dxfId="6" priority="2">
      <formula>J8="◆"</formula>
    </cfRule>
    <cfRule type="expression" dxfId="5" priority="3">
      <formula>AND(LEFT($C8,2)="F1",(YEAR($G8)-2026)*12+MONTH($G8)-7&lt;=COLUMN()-10,(YEAR($H8)-2026)*12+MONTH($H8)-7&gt;=COLUMN()-10)</formula>
    </cfRule>
    <cfRule type="expression" dxfId="4" priority="4">
      <formula>AND(LEFT($C8,2)="F2",(YEAR($G8)-2026)*12+MONTH($G8)-7&lt;=COLUMN()-10,(YEAR($H8)-2026)*12+MONTH($H8)-7&gt;=COLUMN()-10)</formula>
    </cfRule>
    <cfRule type="expression" dxfId="3" priority="5">
      <formula>AND(LEFT($C8,2)="F3",(YEAR($G8)-2026)*12+MONTH($G8)-7&lt;=COLUMN()-10,(YEAR($H8)-2026)*12+MONTH($H8)-7&gt;=COLUMN()-10)</formula>
    </cfRule>
    <cfRule type="expression" dxfId="2" priority="6">
      <formula>AND(LEFT($C8,2)="F4",(YEAR($G8)-2026)*12+MONTH($G8)-7&lt;=COLUMN()-10,(YEAR($H8)-2026)*12+MONTH($H8)-7&gt;=COLUMN()-10)</formula>
    </cfRule>
    <cfRule type="expression" dxfId="1" priority="7">
      <formula>AND(LEFT($C8,2)="F5",(YEAR($G8)-2026)*12+MONTH($G8)-7&lt;=COLUMN()-10,(YEAR($H8)-2026)*12+MONTH($H8)-7&gt;=COLUMN()-10)</formula>
    </cfRule>
    <cfRule type="expression" dxfId="0" priority="8">
      <formula>AND(LEFT($C8,2)="Co",(YEAR($G8)-2026)*12+MONTH($G8)-7&lt;=COLUMN()-10,(YEAR($H8)-2026)*12+MONTH($H8)-7&gt;=COLUMN()-10)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6"/>
  <sheetViews>
    <sheetView showGridLines="0" zoomScaleNormal="100" workbookViewId="0"/>
  </sheetViews>
  <sheetFormatPr baseColWidth="10" defaultColWidth="8.6640625" defaultRowHeight="14.4" x14ac:dyDescent="0.3"/>
  <cols>
    <col min="1" max="1" width="9" customWidth="1"/>
    <col min="2" max="2" width="62" customWidth="1"/>
    <col min="3" max="3" width="10" customWidth="1"/>
    <col min="4" max="4" width="30" customWidth="1"/>
    <col min="5" max="5" width="11" customWidth="1"/>
    <col min="6" max="6" width="17" customWidth="1"/>
  </cols>
  <sheetData>
    <row r="1" spans="1:6" ht="24" customHeight="1" x14ac:dyDescent="0.3">
      <c r="A1" s="1" t="s">
        <v>75</v>
      </c>
      <c r="B1" s="1"/>
      <c r="C1" s="1"/>
      <c r="D1" s="1"/>
      <c r="E1" s="1"/>
      <c r="F1" s="1"/>
    </row>
    <row r="3" spans="1:6" x14ac:dyDescent="0.3">
      <c r="A3" s="9" t="s">
        <v>76</v>
      </c>
      <c r="B3" s="9" t="s">
        <v>77</v>
      </c>
      <c r="C3" s="9" t="s">
        <v>5</v>
      </c>
      <c r="D3" s="9" t="s">
        <v>78</v>
      </c>
      <c r="E3" s="9" t="s">
        <v>79</v>
      </c>
      <c r="F3" s="9" t="s">
        <v>80</v>
      </c>
    </row>
    <row r="4" spans="1:6" ht="30" customHeight="1" x14ac:dyDescent="0.3">
      <c r="A4" s="31" t="s">
        <v>81</v>
      </c>
      <c r="B4" s="32" t="s">
        <v>82</v>
      </c>
      <c r="C4" s="33">
        <v>1</v>
      </c>
      <c r="D4" s="34" t="s">
        <v>30</v>
      </c>
      <c r="E4" s="33" t="s">
        <v>83</v>
      </c>
      <c r="F4" s="33" t="s">
        <v>84</v>
      </c>
    </row>
    <row r="5" spans="1:6" ht="30" customHeight="1" x14ac:dyDescent="0.3">
      <c r="A5" s="35" t="s">
        <v>85</v>
      </c>
      <c r="B5" s="14" t="s">
        <v>86</v>
      </c>
      <c r="C5" s="11" t="s">
        <v>87</v>
      </c>
      <c r="D5" s="13" t="s">
        <v>30</v>
      </c>
      <c r="E5" s="11" t="s">
        <v>83</v>
      </c>
      <c r="F5" s="11" t="s">
        <v>88</v>
      </c>
    </row>
    <row r="6" spans="1:6" ht="30" customHeight="1" x14ac:dyDescent="0.3">
      <c r="A6" s="35" t="s">
        <v>89</v>
      </c>
      <c r="B6" s="14" t="s">
        <v>90</v>
      </c>
      <c r="C6" s="11">
        <v>3</v>
      </c>
      <c r="D6" s="18" t="s">
        <v>38</v>
      </c>
      <c r="E6" s="11" t="s">
        <v>83</v>
      </c>
      <c r="F6" s="11" t="s">
        <v>91</v>
      </c>
    </row>
    <row r="7" spans="1:6" ht="30" customHeight="1" x14ac:dyDescent="0.3">
      <c r="A7" s="35" t="s">
        <v>42</v>
      </c>
      <c r="B7" s="14" t="s">
        <v>92</v>
      </c>
      <c r="C7" s="11">
        <v>4</v>
      </c>
      <c r="D7" s="18" t="s">
        <v>38</v>
      </c>
      <c r="E7" s="11" t="s">
        <v>93</v>
      </c>
      <c r="F7" s="11" t="s">
        <v>88</v>
      </c>
    </row>
    <row r="8" spans="1:6" ht="30" customHeight="1" x14ac:dyDescent="0.3">
      <c r="A8" s="35" t="s">
        <v>44</v>
      </c>
      <c r="B8" s="14" t="s">
        <v>94</v>
      </c>
      <c r="C8" s="11">
        <v>5</v>
      </c>
      <c r="D8" s="18" t="s">
        <v>38</v>
      </c>
      <c r="E8" s="11" t="s">
        <v>93</v>
      </c>
      <c r="F8" s="11" t="s">
        <v>88</v>
      </c>
    </row>
    <row r="9" spans="1:6" ht="30" customHeight="1" x14ac:dyDescent="0.3">
      <c r="A9" s="35" t="s">
        <v>47</v>
      </c>
      <c r="B9" s="14" t="s">
        <v>95</v>
      </c>
      <c r="C9" s="11">
        <v>6</v>
      </c>
      <c r="D9" s="19" t="s">
        <v>45</v>
      </c>
      <c r="E9" s="11" t="s">
        <v>93</v>
      </c>
      <c r="F9" s="11" t="s">
        <v>88</v>
      </c>
    </row>
    <row r="10" spans="1:6" ht="30" customHeight="1" x14ac:dyDescent="0.3">
      <c r="A10" s="31" t="s">
        <v>96</v>
      </c>
      <c r="B10" s="32" t="s">
        <v>97</v>
      </c>
      <c r="C10" s="33">
        <v>7</v>
      </c>
      <c r="D10" s="36" t="s">
        <v>45</v>
      </c>
      <c r="E10" s="33" t="s">
        <v>93</v>
      </c>
      <c r="F10" s="33" t="s">
        <v>84</v>
      </c>
    </row>
    <row r="11" spans="1:6" ht="30" customHeight="1" x14ac:dyDescent="0.3">
      <c r="A11" s="35" t="s">
        <v>98</v>
      </c>
      <c r="B11" s="14" t="s">
        <v>99</v>
      </c>
      <c r="C11" s="11">
        <v>7</v>
      </c>
      <c r="D11" s="19" t="s">
        <v>45</v>
      </c>
      <c r="E11" s="11" t="s">
        <v>93</v>
      </c>
      <c r="F11" s="11" t="s">
        <v>88</v>
      </c>
    </row>
    <row r="12" spans="1:6" ht="30" customHeight="1" x14ac:dyDescent="0.3">
      <c r="A12" s="35" t="s">
        <v>89</v>
      </c>
      <c r="B12" s="14" t="s">
        <v>100</v>
      </c>
      <c r="C12" s="11">
        <v>8</v>
      </c>
      <c r="D12" s="20" t="s">
        <v>52</v>
      </c>
      <c r="E12" s="11" t="s">
        <v>93</v>
      </c>
      <c r="F12" s="11" t="s">
        <v>91</v>
      </c>
    </row>
    <row r="13" spans="1:6" ht="30" customHeight="1" x14ac:dyDescent="0.3">
      <c r="A13" s="35" t="s">
        <v>56</v>
      </c>
      <c r="B13" s="14" t="s">
        <v>101</v>
      </c>
      <c r="C13" s="11">
        <v>9</v>
      </c>
      <c r="D13" s="20" t="s">
        <v>52</v>
      </c>
      <c r="E13" s="11" t="s">
        <v>93</v>
      </c>
      <c r="F13" s="11" t="s">
        <v>88</v>
      </c>
    </row>
    <row r="14" spans="1:6" ht="30" customHeight="1" x14ac:dyDescent="0.3">
      <c r="A14" s="35" t="s">
        <v>60</v>
      </c>
      <c r="B14" s="14" t="s">
        <v>102</v>
      </c>
      <c r="C14" s="11">
        <v>10</v>
      </c>
      <c r="D14" s="21" t="s">
        <v>58</v>
      </c>
      <c r="E14" s="11" t="s">
        <v>103</v>
      </c>
      <c r="F14" s="11" t="s">
        <v>88</v>
      </c>
    </row>
    <row r="15" spans="1:6" ht="30" customHeight="1" x14ac:dyDescent="0.3">
      <c r="A15" s="35" t="s">
        <v>63</v>
      </c>
      <c r="B15" s="14" t="s">
        <v>104</v>
      </c>
      <c r="C15" s="11">
        <v>11</v>
      </c>
      <c r="D15" s="22" t="s">
        <v>61</v>
      </c>
      <c r="E15" s="11" t="s">
        <v>103</v>
      </c>
      <c r="F15" s="11" t="s">
        <v>88</v>
      </c>
    </row>
    <row r="16" spans="1:6" ht="30" customHeight="1" x14ac:dyDescent="0.3">
      <c r="A16" s="31" t="s">
        <v>65</v>
      </c>
      <c r="B16" s="32" t="s">
        <v>105</v>
      </c>
      <c r="C16" s="33">
        <v>12</v>
      </c>
      <c r="D16" s="37" t="s">
        <v>58</v>
      </c>
      <c r="E16" s="33" t="s">
        <v>106</v>
      </c>
      <c r="F16" s="33" t="s">
        <v>84</v>
      </c>
    </row>
  </sheetData>
  <mergeCells count="1">
    <mergeCell ref="A1:F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zoomScaleNormal="100" workbookViewId="0"/>
  </sheetViews>
  <sheetFormatPr baseColWidth="10" defaultColWidth="8.6640625" defaultRowHeight="14.4" x14ac:dyDescent="0.3"/>
  <cols>
    <col min="1" max="1" width="30" customWidth="1"/>
    <col min="2" max="2" width="26" customWidth="1"/>
    <col min="3" max="3" width="34" customWidth="1"/>
    <col min="4" max="4" width="60" customWidth="1"/>
    <col min="5" max="6" width="13" customWidth="1"/>
  </cols>
  <sheetData>
    <row r="1" spans="1:6" ht="24" customHeight="1" x14ac:dyDescent="0.3">
      <c r="A1" s="1" t="s">
        <v>107</v>
      </c>
      <c r="B1" s="1"/>
      <c r="C1" s="1"/>
      <c r="D1" s="1"/>
      <c r="E1" s="1"/>
      <c r="F1" s="1"/>
    </row>
    <row r="3" spans="1:6" x14ac:dyDescent="0.3">
      <c r="A3" s="9" t="s">
        <v>78</v>
      </c>
      <c r="B3" s="9" t="s">
        <v>108</v>
      </c>
      <c r="C3" s="9" t="s">
        <v>109</v>
      </c>
      <c r="D3" s="9" t="s">
        <v>110</v>
      </c>
      <c r="E3" s="9" t="s">
        <v>111</v>
      </c>
      <c r="F3" s="9" t="s">
        <v>112</v>
      </c>
    </row>
    <row r="4" spans="1:6" ht="61.5" customHeight="1" x14ac:dyDescent="0.3">
      <c r="A4" s="38" t="s">
        <v>30</v>
      </c>
      <c r="B4" s="14" t="s">
        <v>113</v>
      </c>
      <c r="C4" s="14" t="s">
        <v>114</v>
      </c>
      <c r="D4" s="14" t="s">
        <v>115</v>
      </c>
      <c r="E4" s="11" t="s">
        <v>116</v>
      </c>
      <c r="F4" s="11" t="s">
        <v>117</v>
      </c>
    </row>
    <row r="5" spans="1:6" ht="61.5" customHeight="1" x14ac:dyDescent="0.3">
      <c r="A5" s="39" t="s">
        <v>38</v>
      </c>
      <c r="B5" s="14" t="s">
        <v>37</v>
      </c>
      <c r="C5" s="14" t="s">
        <v>118</v>
      </c>
      <c r="D5" s="14" t="s">
        <v>119</v>
      </c>
      <c r="E5" s="11" t="s">
        <v>120</v>
      </c>
      <c r="F5" s="11" t="s">
        <v>121</v>
      </c>
    </row>
    <row r="6" spans="1:6" ht="61.5" customHeight="1" x14ac:dyDescent="0.3">
      <c r="A6" s="40" t="s">
        <v>45</v>
      </c>
      <c r="B6" s="14" t="s">
        <v>122</v>
      </c>
      <c r="C6" s="14" t="s">
        <v>123</v>
      </c>
      <c r="D6" s="14" t="s">
        <v>124</v>
      </c>
      <c r="E6" s="11" t="s">
        <v>125</v>
      </c>
      <c r="F6" s="11" t="s">
        <v>126</v>
      </c>
    </row>
    <row r="7" spans="1:6" ht="61.5" customHeight="1" x14ac:dyDescent="0.3">
      <c r="A7" s="41" t="s">
        <v>52</v>
      </c>
      <c r="B7" s="14" t="s">
        <v>51</v>
      </c>
      <c r="C7" s="14" t="s">
        <v>127</v>
      </c>
      <c r="D7" s="14" t="s">
        <v>128</v>
      </c>
      <c r="E7" s="11" t="s">
        <v>129</v>
      </c>
      <c r="F7" s="11" t="s">
        <v>56</v>
      </c>
    </row>
    <row r="8" spans="1:6" ht="61.5" customHeight="1" x14ac:dyDescent="0.3">
      <c r="A8" s="42" t="s">
        <v>61</v>
      </c>
      <c r="B8" s="14" t="s">
        <v>57</v>
      </c>
      <c r="C8" s="14" t="s">
        <v>130</v>
      </c>
      <c r="D8" s="14" t="s">
        <v>131</v>
      </c>
      <c r="E8" s="11" t="s">
        <v>132</v>
      </c>
      <c r="F8" s="11" t="s">
        <v>63</v>
      </c>
    </row>
    <row r="9" spans="1:6" ht="61.5" customHeight="1" x14ac:dyDescent="0.3">
      <c r="A9" s="43" t="s">
        <v>133</v>
      </c>
      <c r="B9" s="14" t="s">
        <v>89</v>
      </c>
      <c r="C9" s="14" t="s">
        <v>134</v>
      </c>
      <c r="D9" s="14" t="s">
        <v>135</v>
      </c>
      <c r="E9" s="11" t="s">
        <v>136</v>
      </c>
      <c r="F9" s="11" t="s">
        <v>89</v>
      </c>
    </row>
    <row r="10" spans="1:6" ht="61.5" customHeight="1" x14ac:dyDescent="0.3">
      <c r="A10" s="44" t="s">
        <v>58</v>
      </c>
      <c r="B10" s="14" t="s">
        <v>57</v>
      </c>
      <c r="C10" s="14" t="s">
        <v>137</v>
      </c>
      <c r="D10" s="14" t="s">
        <v>138</v>
      </c>
      <c r="E10" s="11" t="s">
        <v>139</v>
      </c>
      <c r="F10" s="11" t="s">
        <v>140</v>
      </c>
    </row>
    <row r="12" spans="1:6" ht="48" customHeight="1" x14ac:dyDescent="0.3">
      <c r="A12" s="2" t="s">
        <v>141</v>
      </c>
      <c r="B12" s="2"/>
      <c r="C12" s="2"/>
      <c r="D12" s="2"/>
      <c r="E12" s="2"/>
      <c r="F12" s="2"/>
    </row>
  </sheetData>
  <mergeCells count="2">
    <mergeCell ref="A1:F1"/>
    <mergeCell ref="A12:F1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Cronograma</vt:lpstr>
      <vt:lpstr>Hitos y entregables</vt:lpstr>
      <vt:lpstr>Correspondencia DSRM–CRISP</vt:lpstr>
      <vt:lpstr>Cronograma!Títulos_a_imprimir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Mijael</cp:lastModifiedBy>
  <cp:revision>0</cp:revision>
  <dcterms:created xsi:type="dcterms:W3CDTF">2026-10-03T15:43:49Z</dcterms:created>
  <dcterms:modified xsi:type="dcterms:W3CDTF">2026-10-03T15:46:18Z</dcterms:modified>
  <dc:language>en-US</dc:language>
</cp:coreProperties>
</file>